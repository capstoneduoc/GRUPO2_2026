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2\Evidencias Grupales\"/>
    </mc:Choice>
  </mc:AlternateContent>
  <xr:revisionPtr revIDLastSave="0" documentId="13_ncr:1_{7D04C824-244E-43C1-BB5C-0F46E6D804C1}"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C60" i="1"/>
  <c r="D67" i="1"/>
  <c r="J66" i="1"/>
  <c r="K66" i="1" s="1"/>
  <c r="H66" i="1"/>
  <c r="I66" i="1" s="1"/>
  <c r="F66" i="1"/>
  <c r="G66" i="1" s="1"/>
  <c r="D66" i="1"/>
  <c r="E66" i="1" s="1"/>
  <c r="B66" i="1"/>
  <c r="J65" i="1"/>
  <c r="K65" i="1" s="1"/>
  <c r="H65" i="1"/>
  <c r="I65" i="1" s="1"/>
  <c r="F65" i="1"/>
  <c r="G65" i="1" s="1"/>
  <c r="D65" i="1"/>
  <c r="E65" i="1" s="1"/>
  <c r="B65" i="1"/>
  <c r="J64" i="1"/>
  <c r="J67" i="1" s="1"/>
  <c r="H64" i="1"/>
  <c r="H67" i="1" s="1"/>
  <c r="F64" i="1"/>
  <c r="F67" i="1" s="1"/>
  <c r="D64" i="1"/>
  <c r="E64" i="1" s="1"/>
  <c r="B64" i="1"/>
  <c r="E6"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<sst xmlns="http://schemas.openxmlformats.org/spreadsheetml/2006/main" count="172" uniqueCount="98">
  <si>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</si>
  <si>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</si>
  <si>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</si>
  <si>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</si>
  <si>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</si>
  <si>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</si>
  <si>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</si>
  <si>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</si>
  <si>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</si>
  <si>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</si>
  <si>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</si>
  <si>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</si>
  <si>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</si>
  <si>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</si>
  <si>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</si>
  <si>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</si>
  <si>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</si>
  <si>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</si>
  <si>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</si>
  <si>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</si>
  <si>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</si>
  <si>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</si>
  <si>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</si>
  <si>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</si>
  <si>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</si>
  <si>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</si>
  <si>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</si>
  <si>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</si>
  <si>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</si>
  <si>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</si>
  <si>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</si>
  <si>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</si>
  <si>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</si>
  <si>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</si>
  <si>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</si>
  <si>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</si>
  <si>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</si>
  <si>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</si>
  <si>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</si>
  <si>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</si>
  <si>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</si>
  <si>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</si>
  <si>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</si>
  <si>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</si>
  <si>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</si>
  <si>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</si>
  <si>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</si>
  <si>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</si>
  <si>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</si>
  <si>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</si>
  <si>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</si>
  <si>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</si>
  <si>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</si>
  <si>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</si>
  <si>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</si>
  <si>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</si>
  <si>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</si>
  <si>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</si>
  <si>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</si>
  <si>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</si>
  <si>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</si>
  <si>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</si>
  <si>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</si>
  <si>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</si>
  <si>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</si>
  <si>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</si>
  <si>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</si>
  <si>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</si>
  <si>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</si>
  <si>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</si>
  <si>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</si>
  <si>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</si>
  <si>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</si>
  <si>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</si>
  <si>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</si>
  <si>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</si>
  <si>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</si>
  <si>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</si>
  <si>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</si>
  <si>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</si>
  <si>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</si>
  <si>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</si>
  <si>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</si>
  <si>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</si>
  <si>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</si>
  <si>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</si>
  <si>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</si>
  <si>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</si>
  <si>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</si>
  <si>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</si>
  <si>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</si>
  <si>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</si>
  <si>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</si>
  <si>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</si>
  <si>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</si>
  <si>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GONZALEZ HERNANDEZ JUAN PABLO</t>
  </si>
  <si>
    <t>MUNOZ CAEPI DIEGO ANDRES</t>
  </si>
  <si>
    <t>ROMAN TAPIA ROBERTO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</si>
</sst>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C7" sqref="C7:E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c r="C7" s="6"/>
      <c r="D7" s="6"/>
      <c r="E7" s="50"/>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2">IF($C12=CL,"X","")</f>
        <v>X</v>
      </c>
      <c r="E12" s="17">
        <f>IF(D12="X",100*0.1,"")</f>
        <v>10</v>
      </c>
      <c r="F12" s="17" t="str">
        <f t="shared" ref="F12:F15" si="3">IF($C12=L,"X","")</f>
        <v/>
      </c>
      <c r="G12" s="17" t="str">
        <f>IF(F12="X",60*0.1,"")</f>
        <v/>
      </c>
      <c r="H12" s="17" t="str">
        <f t="shared" ref="H12:H15" si="4">IF($C12=ML,"X","")</f>
        <v/>
      </c>
      <c r="I12" s="17" t="str">
        <f>IF(H12="X",30*0.1,"")</f>
        <v/>
      </c>
      <c r="J12" s="17" t="str">
        <f t="shared" ref="J12:J15" si="5">IF($C12=NL,"X","")</f>
        <v/>
      </c>
      <c r="K12" s="17" t="str">
        <f t="shared" ref="K12:K15" si="6">IF($J12="X",0,"")</f>
        <v/>
      </c>
    </row>
    <row r="13" spans="1:11" ht="26.45" customHeight="1" outlineLevel="1" x14ac:dyDescent="0.45">
      <c r="A13" s="70"/>
      <c r="B13" s="40" t="str">
        <f>RUBRICA!A6</f>
        <v>2. Relaciona el Proyecto APT con las competencias del perfil de egreso de su Plan de Estudio.</v>
      </c>
      <c r="C13" s="38" t="s">
        <v>7</v>
      </c>
      <c r="D13" s="17" t="str">
        <f t="shared" si="2"/>
        <v>X</v>
      </c>
      <c r="E13" s="17">
        <f t="shared" ref="E13" si="7">IF(D13="X",100*0.05,"")</f>
        <v>5</v>
      </c>
      <c r="F13" s="17" t="str">
        <f t="shared" si="3"/>
        <v/>
      </c>
      <c r="G13" s="17" t="str">
        <f t="shared" ref="G13" si="8">IF(F13="X",60*0.05,"")</f>
        <v/>
      </c>
      <c r="H13" s="17" t="str">
        <f t="shared" si="4"/>
        <v/>
      </c>
      <c r="I13" s="17" t="str">
        <f t="shared" ref="I13" si="9">IF(H13="X",30*0.05,"")</f>
        <v/>
      </c>
      <c r="J13" s="17" t="str">
        <f t="shared" si="5"/>
        <v/>
      </c>
      <c r="K13" s="17" t="str">
        <f t="shared" si="6"/>
        <v/>
      </c>
    </row>
    <row r="14" spans="1:11" ht="14.25" outlineLevel="1" x14ac:dyDescent="0.45">
      <c r="A14" s="70"/>
      <c r="B14" s="40" t="str">
        <f>RUBRICA!A8</f>
        <v xml:space="preserve">4.  Argumenta por qué el proyecto es factible de realizarse en el marco de la asignatura. </v>
      </c>
      <c r="C14" s="38" t="s">
        <v>7</v>
      </c>
      <c r="D14" s="17" t="str">
        <f t="shared" si="2"/>
        <v>X</v>
      </c>
      <c r="E14" s="17">
        <f t="shared" ref="E14:E20" si="10">IF(D14="X",100*0.05,"")</f>
        <v>5</v>
      </c>
      <c r="F14" s="17" t="str">
        <f t="shared" si="3"/>
        <v/>
      </c>
      <c r="G14" s="17" t="str">
        <f t="shared" ref="G14:G20" si="11">IF(F14="X",60*0.05,"")</f>
        <v/>
      </c>
      <c r="H14" s="17" t="str">
        <f t="shared" si="4"/>
        <v/>
      </c>
      <c r="I14" s="17" t="str">
        <f t="shared" ref="I14:I20" si="12">IF(H14="X",30*0.05,"")</f>
        <v/>
      </c>
      <c r="J14" s="17" t="str">
        <f t="shared" si="5"/>
        <v/>
      </c>
      <c r="K14" s="17" t="str">
        <f t="shared" si="6"/>
        <v/>
      </c>
    </row>
    <row r="15" spans="1:11" ht="14.25" outlineLevel="1" x14ac:dyDescent="0.45">
      <c r="A15" s="70"/>
      <c r="B15" s="40" t="str">
        <f>RUBRICA!A9</f>
        <v xml:space="preserve">5. Formula objetivos claros, concisos y coherentes con la disciplina y la situación a abordar. </v>
      </c>
      <c r="C15" s="38" t="s">
        <v>7</v>
      </c>
      <c r="D15" s="17" t="str">
        <f t="shared" si="2"/>
        <v>X</v>
      </c>
      <c r="E15" s="17">
        <f>IF(D15="X",100*0.05,"")</f>
        <v>5</v>
      </c>
      <c r="F15" s="17" t="str">
        <f t="shared" si="3"/>
        <v/>
      </c>
      <c r="G15" s="17" t="str">
        <f>IF(F15="X",60*0.05,"")</f>
        <v/>
      </c>
      <c r="H15" s="17" t="str">
        <f t="shared" si="4"/>
        <v/>
      </c>
      <c r="I15" s="17" t="str">
        <f>IF(H15="X",30*0.05,"")</f>
        <v/>
      </c>
      <c r="J15" s="17" t="str">
        <f t="shared" si="5"/>
        <v/>
      </c>
      <c r="K15" s="17" t="str">
        <f t="shared" si="6"/>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3">IF($C16=CL,"X","")</f>
        <v>X</v>
      </c>
      <c r="E16" s="17">
        <f t="shared" ref="E16" si="14">IF(D16="X",100*0.1,"")</f>
        <v>10</v>
      </c>
      <c r="F16" s="17" t="str">
        <f t="shared" ref="F16:F21" si="15">IF($C16=L,"X","")</f>
        <v/>
      </c>
      <c r="G16" s="17" t="str">
        <f t="shared" ref="G16" si="16">IF(F16="X",60*0.1,"")</f>
        <v/>
      </c>
      <c r="H16" s="17" t="str">
        <f t="shared" ref="H16:H21" si="17">IF($C16=ML,"X","")</f>
        <v/>
      </c>
      <c r="I16" s="17" t="str">
        <f t="shared" ref="I16" si="18">IF(H16="X",30*0.1,"")</f>
        <v/>
      </c>
      <c r="J16" s="17" t="str">
        <f t="shared" ref="J16:J21" si="19">IF($C16=NL,"X","")</f>
        <v/>
      </c>
      <c r="K16" s="17" t="str">
        <f t="shared" ref="K16:K21" si="20">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3"/>
        <v>X</v>
      </c>
      <c r="E17" s="17">
        <f t="shared" ref="E17" si="21">IF(D17="X",100*0.1,"")</f>
        <v>10</v>
      </c>
      <c r="F17" s="17" t="str">
        <f t="shared" si="15"/>
        <v/>
      </c>
      <c r="G17" s="17" t="str">
        <f t="shared" ref="G17" si="22">IF(F17="X",60*0.1,"")</f>
        <v/>
      </c>
      <c r="H17" s="17" t="str">
        <f t="shared" si="17"/>
        <v/>
      </c>
      <c r="I17" s="17" t="str">
        <f t="shared" ref="I17" si="23">IF(H17="X",30*0.1,"")</f>
        <v/>
      </c>
      <c r="J17" s="17" t="str">
        <f t="shared" si="19"/>
        <v/>
      </c>
      <c r="K17" s="17" t="str">
        <f t="shared" si="20"/>
        <v/>
      </c>
    </row>
    <row r="18" spans="1:11" ht="23.25" outlineLevel="1" x14ac:dyDescent="0.45">
      <c r="A18" s="70"/>
      <c r="B18" s="40" t="str">
        <f>RUBRICA!A12</f>
        <v>8. Determina evidencias, justificando cómo estas dan cuenta del logro de las actividades del Proyecto APT.</v>
      </c>
      <c r="C18" s="38" t="s">
        <v>7</v>
      </c>
      <c r="D18" s="17" t="str">
        <f t="shared" si="13"/>
        <v>X</v>
      </c>
      <c r="E18" s="17">
        <f>IF(D18="X",100*0.05,"")</f>
        <v>5</v>
      </c>
      <c r="F18" s="17" t="str">
        <f t="shared" si="15"/>
        <v/>
      </c>
      <c r="G18" s="17" t="str">
        <f t="shared" ref="G18" si="24">IF(F18="X",60*0.05,"")</f>
        <v/>
      </c>
      <c r="H18" s="17" t="str">
        <f t="shared" si="17"/>
        <v/>
      </c>
      <c r="I18" s="17" t="str">
        <f t="shared" ref="I18" si="25">IF(H18="X",30*0.05,"")</f>
        <v/>
      </c>
      <c r="J18" s="17" t="str">
        <f t="shared" si="19"/>
        <v/>
      </c>
      <c r="K18" s="17" t="str">
        <f t="shared" si="20"/>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3"/>
        <v>X</v>
      </c>
      <c r="E19" s="17">
        <f>IF(D19="X",100*0.05,"")</f>
        <v>5</v>
      </c>
      <c r="F19" s="17" t="str">
        <f t="shared" si="15"/>
        <v/>
      </c>
      <c r="G19" s="17" t="str">
        <f t="shared" si="11"/>
        <v/>
      </c>
      <c r="H19" s="17" t="str">
        <f t="shared" si="17"/>
        <v/>
      </c>
      <c r="I19" s="17" t="str">
        <f t="shared" si="12"/>
        <v/>
      </c>
      <c r="J19" s="17" t="str">
        <f t="shared" si="19"/>
        <v/>
      </c>
      <c r="K19" s="17" t="str">
        <f t="shared" si="20"/>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3"/>
        <v>X</v>
      </c>
      <c r="E20" s="17">
        <f t="shared" si="10"/>
        <v>5</v>
      </c>
      <c r="F20" s="17" t="str">
        <f t="shared" si="15"/>
        <v/>
      </c>
      <c r="G20" s="17" t="str">
        <f t="shared" si="11"/>
        <v/>
      </c>
      <c r="H20" s="17" t="str">
        <f t="shared" si="17"/>
        <v/>
      </c>
      <c r="I20" s="17" t="str">
        <f t="shared" si="12"/>
        <v/>
      </c>
      <c r="J20" s="17" t="str">
        <f t="shared" si="19"/>
        <v/>
      </c>
      <c r="K20" s="17" t="str">
        <f t="shared" si="20"/>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3"/>
        <v>X</v>
      </c>
      <c r="E21" s="17">
        <f>IF(D21="X",100*0.1,"")</f>
        <v>10</v>
      </c>
      <c r="F21" s="17" t="str">
        <f t="shared" si="15"/>
        <v/>
      </c>
      <c r="G21" s="17" t="str">
        <f>IF(F21="X",60*0.1,"")</f>
        <v/>
      </c>
      <c r="H21" s="17" t="str">
        <f t="shared" si="17"/>
        <v/>
      </c>
      <c r="I21" s="17" t="str">
        <f>IF(H21="X",30*0.1,"")</f>
        <v/>
      </c>
      <c r="J21" s="17" t="str">
        <f t="shared" si="19"/>
        <v/>
      </c>
      <c r="K21" s="17" t="str">
        <f t="shared" si="20"/>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GONZALEZ HERNANDEZ JUAN PABLO</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6">IF($C30=CL,"X","")</f>
        <v>X</v>
      </c>
      <c r="E30" s="17">
        <f>IF(D30="X",100*0.1,"")</f>
        <v>10</v>
      </c>
      <c r="F30" s="17" t="str">
        <f t="shared" ref="F30:F31" si="27">IF($C30=L,"X","")</f>
        <v/>
      </c>
      <c r="G30" s="17" t="str">
        <f>IF(F30="X",60*0.1,"")</f>
        <v/>
      </c>
      <c r="H30" s="17" t="str">
        <f t="shared" ref="H30:H31" si="28">IF($C30=ML,"X","")</f>
        <v/>
      </c>
      <c r="I30" s="17" t="str">
        <f>IF(H30="X",30*0.1,"")</f>
        <v/>
      </c>
      <c r="J30" s="17" t="str">
        <f t="shared" ref="J30:J31" si="29">IF($C30=NL,"X","")</f>
        <v/>
      </c>
      <c r="K30" s="17" t="str">
        <f t="shared" ref="K30:K31" si="30">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6"/>
        <v>X</v>
      </c>
      <c r="E31" s="17">
        <f>IF(D31="X",100*0.1,"")</f>
        <v>10</v>
      </c>
      <c r="F31" s="17" t="str">
        <f t="shared" si="27"/>
        <v/>
      </c>
      <c r="G31" s="17" t="str">
        <f>IF(F31="X",60*0.1,"")</f>
        <v/>
      </c>
      <c r="H31" s="17" t="str">
        <f t="shared" si="28"/>
        <v/>
      </c>
      <c r="I31" s="17" t="str">
        <f>IF(H31="X",30*0.1,"")</f>
        <v/>
      </c>
      <c r="J31" s="17" t="str">
        <f t="shared" si="29"/>
        <v/>
      </c>
      <c r="K31" s="17" t="str">
        <f t="shared" si="30"/>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1">SUM(G30:G32)</f>
        <v>0</v>
      </c>
      <c r="H33" s="20"/>
      <c r="I33" s="20">
        <f t="shared" si="31"/>
        <v>0</v>
      </c>
      <c r="J33" s="20"/>
      <c r="K33" s="20">
        <f t="shared" si="31"/>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MUNOZ CAEPI DIEGO ANDRES</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2">IF($C42=CL,"X","")</f>
        <v>X</v>
      </c>
      <c r="E42" s="17">
        <f>IF(D42="X",100*0.1,"")</f>
        <v>10</v>
      </c>
      <c r="F42" s="17" t="str">
        <f t="shared" ref="F42:F43" si="33">IF($C42=L,"X","")</f>
        <v/>
      </c>
      <c r="G42" s="17" t="str">
        <f>IF(F42="X",60*0.1,"")</f>
        <v/>
      </c>
      <c r="H42" s="17" t="str">
        <f t="shared" ref="H42:H43" si="34">IF($C42=ML,"X","")</f>
        <v/>
      </c>
      <c r="I42" s="17" t="str">
        <f>IF(H42="X",30*0.1,"")</f>
        <v/>
      </c>
      <c r="J42" s="17" t="str">
        <f t="shared" ref="J42:J43" si="35">IF($C42=NL,"X","")</f>
        <v/>
      </c>
      <c r="K42" s="17" t="str">
        <f t="shared" ref="K42:K43" si="36">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2"/>
        <v>X</v>
      </c>
      <c r="E43" s="17">
        <f>IF(D43="X",100*0.1,"")</f>
        <v>10</v>
      </c>
      <c r="F43" s="17" t="str">
        <f t="shared" si="33"/>
        <v/>
      </c>
      <c r="G43" s="17" t="str">
        <f>IF(F43="X",60*0.1,"")</f>
        <v/>
      </c>
      <c r="H43" s="17" t="str">
        <f t="shared" si="34"/>
        <v/>
      </c>
      <c r="I43" s="17" t="str">
        <f>IF(H43="X",30*0.1,"")</f>
        <v/>
      </c>
      <c r="J43" s="17" t="str">
        <f t="shared" si="35"/>
        <v/>
      </c>
      <c r="K43" s="17" t="str">
        <f t="shared" si="36"/>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7">SUM(G42:G44)</f>
        <v>0</v>
      </c>
      <c r="H45" s="20"/>
      <c r="I45" s="20">
        <f t="shared" ref="I45" si="38">SUM(I42:I44)</f>
        <v>0</v>
      </c>
      <c r="J45" s="20"/>
      <c r="K45" s="20">
        <f t="shared" ref="K45" si="39">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ROMAN TAPIA ROBERTO ALEJANDRO</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0">IF($C53=CL,"X","")</f>
        <v>X</v>
      </c>
      <c r="E53" s="17">
        <f>IF(D53="X",100*0.1,"")</f>
        <v>10</v>
      </c>
      <c r="F53" s="17" t="str">
        <f t="shared" ref="F53:F54" si="41">IF($C53=L,"X","")</f>
        <v/>
      </c>
      <c r="G53" s="17" t="str">
        <f>IF(F53="X",60*0.1,"")</f>
        <v/>
      </c>
      <c r="H53" s="17" t="str">
        <f t="shared" ref="H53:H54" si="42">IF($C53=ML,"X","")</f>
        <v/>
      </c>
      <c r="I53" s="17" t="str">
        <f>IF(H53="X",30*0.1,"")</f>
        <v/>
      </c>
      <c r="J53" s="17" t="str">
        <f t="shared" ref="J53:J54" si="43">IF($C53=NL,"X","")</f>
        <v/>
      </c>
      <c r="K53" s="17" t="str">
        <f t="shared" ref="K53:K54" si="44">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0"/>
        <v>X</v>
      </c>
      <c r="E54" s="17">
        <f>IF(D54="X",100*0.1,"")</f>
        <v>10</v>
      </c>
      <c r="F54" s="17" t="str">
        <f t="shared" si="41"/>
        <v/>
      </c>
      <c r="G54" s="17" t="str">
        <f>IF(F54="X",60*0.1,"")</f>
        <v/>
      </c>
      <c r="H54" s="17" t="str">
        <f t="shared" si="42"/>
        <v/>
      </c>
      <c r="I54" s="17" t="str">
        <f>IF(H54="X",30*0.1,"")</f>
        <v/>
      </c>
      <c r="J54" s="17" t="str">
        <f t="shared" si="43"/>
        <v/>
      </c>
      <c r="K54" s="17" t="str">
        <f t="shared" si="44"/>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5">SUM(F53:F55)</f>
        <v>0</v>
      </c>
      <c r="G56" s="20">
        <f t="shared" ref="G56" si="46">SUM(G53:G55)</f>
        <v>0</v>
      </c>
      <c r="H56" s="20">
        <f t="shared" ref="H56" si="47">SUM(H53:H55)</f>
        <v>0</v>
      </c>
      <c r="I56" s="20">
        <f t="shared" ref="I56" si="48">SUM(I53:I55)</f>
        <v>0</v>
      </c>
      <c r="J56" s="20">
        <f t="shared" ref="J56" si="49">SUM(J53:J55)</f>
        <v>0</v>
      </c>
      <c r="K56" s="20">
        <f t="shared" ref="K56" si="50">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f>B7</f>
        <v>0</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RUBRICA!A18</f>
        <v>Total</v>
      </c>
      <c r="C64" s="38" t="s">
        <v>7</v>
      </c>
      <c r="D64" s="17" t="str">
        <f t="shared" ref="D64:D65" si="51">IF($C64=CL,"X","")</f>
        <v>X</v>
      </c>
      <c r="E64" s="17">
        <f>IF(D64="X",100*0.1,"")</f>
        <v>10</v>
      </c>
      <c r="F64" s="17" t="str">
        <f t="shared" ref="F64:F65" si="52">IF($C64=L,"X","")</f>
        <v/>
      </c>
      <c r="G64" s="17" t="str">
        <f>IF(F64="X",60*0.1,"")</f>
        <v/>
      </c>
      <c r="H64" s="17" t="str">
        <f t="shared" ref="H64:H65" si="53">IF($C64=ML,"X","")</f>
        <v/>
      </c>
      <c r="I64" s="17" t="str">
        <f>IF(H64="X",30*0.1,"")</f>
        <v/>
      </c>
      <c r="J64" s="17" t="str">
        <f t="shared" ref="J64:J65" si="54">IF($C64=NL,"X","")</f>
        <v/>
      </c>
      <c r="K64" s="17" t="str">
        <f t="shared" ref="K64:K65" si="55">IF($J64="X",0,"")</f>
        <v/>
      </c>
    </row>
    <row r="65" spans="1:11" ht="15.75" customHeight="1" x14ac:dyDescent="0.45">
      <c r="A65" s="65"/>
      <c r="B65" s="40">
        <f>RUBRICA!A26</f>
        <v>0</v>
      </c>
      <c r="C65" s="38" t="s">
        <v>7</v>
      </c>
      <c r="D65" s="17" t="str">
        <f t="shared" si="51"/>
        <v>X</v>
      </c>
      <c r="E65" s="17">
        <f>IF(D65="X",100*0.1,"")</f>
        <v>10</v>
      </c>
      <c r="F65" s="17" t="str">
        <f t="shared" si="52"/>
        <v/>
      </c>
      <c r="G65" s="17" t="str">
        <f>IF(F65="X",60*0.1,"")</f>
        <v/>
      </c>
      <c r="H65" s="17" t="str">
        <f t="shared" si="53"/>
        <v/>
      </c>
      <c r="I65" s="17" t="str">
        <f>IF(H65="X",30*0.1,"")</f>
        <v/>
      </c>
      <c r="J65" s="17" t="str">
        <f t="shared" si="54"/>
        <v/>
      </c>
      <c r="K65" s="17" t="str">
        <f t="shared" si="55"/>
        <v/>
      </c>
    </row>
    <row r="66" spans="1:11" ht="15.75" customHeight="1" x14ac:dyDescent="0.45">
      <c r="A66" s="65"/>
      <c r="B66" s="40">
        <f>RUBRICA!A28</f>
        <v>0</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6">SUM(F64:F66)</f>
        <v>0</v>
      </c>
      <c r="G67" s="20">
        <f t="shared" si="56"/>
        <v>0</v>
      </c>
      <c r="H67" s="20">
        <f t="shared" si="56"/>
        <v>0</v>
      </c>
      <c r="I67" s="20">
        <f t="shared" si="56"/>
        <v>0</v>
      </c>
      <c r="J67" s="20">
        <f t="shared" si="56"/>
        <v>0</v>
      </c>
      <c r="K67" s="20">
        <f t="shared" si="56"/>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2026-09-11T00:56:50Z</dcterms:modified>
</cp:coreProperties>
</file>